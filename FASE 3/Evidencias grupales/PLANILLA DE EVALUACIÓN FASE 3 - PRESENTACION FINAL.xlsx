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RA CORREGIR (2-2025)\CAPSTONE\SEC 1\grupo 6 (Fuentes Felipe)\"/>
    </mc:Choice>
  </mc:AlternateContent>
  <xr:revisionPtr revIDLastSave="0" documentId="13_ncr:1_{16F25C87-3CFA-496E-8371-C7194D5016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46" i="1"/>
  <c r="C47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4" i="1" l="1"/>
</calcChain>
</file>

<file path=xl/sharedStrings.xml><?xml version="1.0" encoding="utf-8"?>
<sst xmlns="http://schemas.openxmlformats.org/spreadsheetml/2006/main" count="162" uniqueCount="64">
  <si>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</si>
  <si>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</si>
  <si>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</si>
  <si>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</si>
  <si>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</si>
  <si>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</si>
  <si>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</si>
  <si>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</si>
  <si>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</si>
  <si>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</si>
  <si>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</si>
  <si>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</si>
  <si>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</si>
  <si>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</si>
  <si>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</si>
  <si>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</si>
  <si>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</si>
  <si>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</si>
  <si>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</si>
  <si>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</si>
  <si>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</si>
  <si>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</si>
  <si>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</si>
  <si>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</si>
  <si>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</si>
  <si>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</si>
  <si>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</si>
  <si>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</si>
  <si>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</si>
  <si>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</si>
  <si>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</si>
  <si>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</si>
  <si>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</si>
  <si>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</si>
  <si>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</si>
  <si>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</si>
  <si>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</si>
  <si>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</si>
  <si>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</si>
  <si>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</si>
  <si>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</si>
  <si>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</si>
  <si>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</si>
  <si>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</si>
  <si>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</si>
  <si>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</si>
  <si>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</si>
  <si>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</si>
  <si>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</si>
  <si>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</si>
  <si>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</si>
  <si>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</si>
  <si>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</si>
  <si>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</si>
  <si>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</si>
  <si>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</si>
  <si>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</si>
  <si>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</si>
  <si>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</si>
  <si>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</si>
  <si>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</si>
  <si>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</si>
  <si>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</si>
  <si>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FELIPE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</si>
</sst>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8" zoomScale="120" zoomScaleNormal="120" workbookViewId="0">
      <selection activeCell="D8" sqref="D8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9">
        <v>0.7</v>
      </c>
      <c r="D2" s="32">
        <v>0.3</v>
      </c>
      <c r="E2" s="33">
        <v>1</v>
      </c>
    </row>
    <row r="3" spans="1:11" ht="30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>
      <c r="A5" s="3">
        <v>2</v>
      </c>
      <c r="B5" s="16"/>
      <c r="C5" s="31"/>
      <c r="D5" s="37"/>
      <c r="E5" s="36"/>
    </row>
    <row r="6" spans="1:11">
      <c r="A6" s="3">
        <v>3</v>
      </c>
      <c r="B6" s="16"/>
      <c r="C6" s="31"/>
      <c r="D6" s="37"/>
      <c r="E6" s="36"/>
    </row>
    <row r="11" spans="1:11" ht="18.75" outlineLevel="1">
      <c r="A11" s="48" t="s">
        <v>4</v>
      </c>
      <c r="B11" s="11" t="str">
        <f>B4</f>
        <v>FELIPE FUENTES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0">IF($C13=CL,"X","")</f>
        <v>X</v>
      </c>
      <c r="E13" s="12">
        <f>IF(D13="X",100*0.15,"")</f>
        <v>15</v>
      </c>
      <c r="F13" s="12" t="str">
        <f t="shared" ref="F13:F17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0"/>
        <v>X</v>
      </c>
      <c r="E14" s="12">
        <f>IF(D14="X",100*0.25,"")</f>
        <v>25</v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0"/>
        <v>X</v>
      </c>
      <c r="E15" s="12">
        <f>IF(D15="X",100*0.2,"")</f>
        <v>20</v>
      </c>
      <c r="F15" s="12" t="str">
        <f t="shared" si="1"/>
        <v/>
      </c>
      <c r="G15" s="12" t="str">
        <f>IF(F15="X",60*0.2,"")</f>
        <v/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0"/>
        <v>X</v>
      </c>
      <c r="E16" s="12">
        <f>IF(D16="X",100*0.05,"")</f>
        <v>5</v>
      </c>
      <c r="F16" s="12" t="str">
        <f t="shared" si="1"/>
        <v/>
      </c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0"/>
        <v>X</v>
      </c>
      <c r="E17" s="12">
        <f>IF(D17="X",100*0.05,"")</f>
        <v>5</v>
      </c>
      <c r="F17" s="12" t="str">
        <f t="shared" si="1"/>
        <v/>
      </c>
      <c r="G17" s="12" t="str">
        <f>IF(F17="X",60*0.05,"")</f>
        <v/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42"/>
      <c r="B21" s="21" t="s">
        <v>13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8" t="s">
        <v>4</v>
      </c>
      <c r="B24" s="11">
        <f>B5</f>
        <v>0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6">IF($C26=CL,"X","")</f>
        <v>X</v>
      </c>
      <c r="E26" s="12">
        <f>IF(D26="X",100*0.15,"")</f>
        <v>15</v>
      </c>
      <c r="F26" s="12" t="str">
        <f t="shared" ref="F26:F30" si="7">IF($C26=L,"X","")</f>
        <v/>
      </c>
      <c r="G26" s="12" t="str">
        <f>IF(F26="X",60*0.15,"")</f>
        <v/>
      </c>
      <c r="H26" s="12" t="str">
        <f t="shared" ref="H26:H30" si="8">IF($C26=ML,"X","")</f>
        <v/>
      </c>
      <c r="I26" s="12" t="str">
        <f>IF(H26="X",30*0.15,"")</f>
        <v/>
      </c>
      <c r="J26" s="12" t="str">
        <f t="shared" ref="J26:J30" si="9">IF($C26=NL,"X","")</f>
        <v/>
      </c>
      <c r="K26" s="12" t="str">
        <f t="shared" ref="K26:K32" si="10">IF($J26="X",0,"")</f>
        <v/>
      </c>
    </row>
    <row r="27" spans="1:11" ht="24" customHeight="1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6"/>
        <v>X</v>
      </c>
      <c r="E27" s="12">
        <f>IF(D27="X",100*0.25,"")</f>
        <v>25</v>
      </c>
      <c r="F27" s="12" t="str">
        <f t="shared" si="7"/>
        <v/>
      </c>
      <c r="G27" s="12" t="str">
        <f>IF(F27="X",60*0.25,"")</f>
        <v/>
      </c>
      <c r="H27" s="12" t="str">
        <f t="shared" si="8"/>
        <v/>
      </c>
      <c r="I27" s="12" t="str">
        <f>IF(H27="X",30*0.25,"")</f>
        <v/>
      </c>
      <c r="J27" s="12" t="str">
        <f t="shared" si="9"/>
        <v/>
      </c>
      <c r="K27" s="12" t="str">
        <f t="shared" si="10"/>
        <v/>
      </c>
    </row>
    <row r="28" spans="1:11" ht="24" customHeight="1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6"/>
        <v>X</v>
      </c>
      <c r="E28" s="12">
        <f>IF(D28="X",100*0.2,"")</f>
        <v>20</v>
      </c>
      <c r="F28" s="12" t="str">
        <f t="shared" si="7"/>
        <v/>
      </c>
      <c r="G28" s="12" t="str">
        <f>IF(F28="X",60*0.2,"")</f>
        <v/>
      </c>
      <c r="H28" s="12" t="str">
        <f t="shared" si="8"/>
        <v/>
      </c>
      <c r="I28" s="12" t="str">
        <f>IF(H28="X",30*0.2,"")</f>
        <v/>
      </c>
      <c r="J28" s="12" t="str">
        <f t="shared" si="9"/>
        <v/>
      </c>
      <c r="K28" s="12" t="str">
        <f t="shared" si="10"/>
        <v/>
      </c>
    </row>
    <row r="29" spans="1:11" ht="24" customHeight="1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6"/>
        <v>X</v>
      </c>
      <c r="E29" s="12">
        <f>IF(D29="X",100*0.05,"")</f>
        <v>5</v>
      </c>
      <c r="F29" s="12" t="str">
        <f t="shared" si="7"/>
        <v/>
      </c>
      <c r="G29" s="12" t="str">
        <f>IF(F29="X",60*0.05,"")</f>
        <v/>
      </c>
      <c r="H29" s="12" t="str">
        <f t="shared" si="8"/>
        <v/>
      </c>
      <c r="I29" s="12" t="str">
        <f>IF(H29="X",30*0.05,"")</f>
        <v/>
      </c>
      <c r="J29" s="12" t="str">
        <f t="shared" si="9"/>
        <v/>
      </c>
      <c r="K29" s="12" t="str">
        <f t="shared" si="10"/>
        <v/>
      </c>
    </row>
    <row r="30" spans="1:11" ht="24" customHeight="1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6"/>
        <v>X</v>
      </c>
      <c r="E30" s="12">
        <f>IF(D30="X",100*0.05,"")</f>
        <v>5</v>
      </c>
      <c r="F30" s="12" t="str">
        <f t="shared" si="7"/>
        <v/>
      </c>
      <c r="G30" s="12" t="str">
        <f>IF(F30="X",60*0.05,"")</f>
        <v/>
      </c>
      <c r="H30" s="12" t="str">
        <f t="shared" si="8"/>
        <v/>
      </c>
      <c r="I30" s="12" t="str">
        <f>IF(H30="X",30*0.05,"")</f>
        <v/>
      </c>
      <c r="J30" s="12" t="str">
        <f t="shared" si="9"/>
        <v/>
      </c>
      <c r="K30" s="12" t="str">
        <f t="shared" si="10"/>
        <v/>
      </c>
    </row>
    <row r="31" spans="1:11" ht="24" customHeight="1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0"/>
        <v/>
      </c>
    </row>
    <row r="32" spans="1:11" ht="24" customHeight="1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0"/>
        <v/>
      </c>
    </row>
    <row r="33" spans="1:11" ht="24" customHeight="1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2"/>
      <c r="B34" s="21" t="s">
        <v>13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8" t="s">
        <v>4</v>
      </c>
      <c r="B37" s="11">
        <f>B6</f>
        <v>0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1">IF($C39=CL,"X","")</f>
        <v>X</v>
      </c>
      <c r="E39" s="12">
        <f>IF(D39="X",100*0.15,"")</f>
        <v>15</v>
      </c>
      <c r="F39" s="12" t="str">
        <f t="shared" ref="F39:F43" si="12">IF($C39=L,"X","")</f>
        <v/>
      </c>
      <c r="G39" s="12" t="str">
        <f>IF(F39="X",60*0.15,"")</f>
        <v/>
      </c>
      <c r="H39" s="12" t="str">
        <f t="shared" ref="H39:H43" si="13">IF($C39=ML,"X","")</f>
        <v/>
      </c>
      <c r="I39" s="12" t="str">
        <f>IF(H39="X",30*0.15,"")</f>
        <v/>
      </c>
      <c r="J39" s="12" t="str">
        <f t="shared" ref="J39:J43" si="14">IF($C39=NL,"X","")</f>
        <v/>
      </c>
      <c r="K39" s="12" t="str">
        <f t="shared" ref="K39:K45" si="15">IF($J39="X",0,"")</f>
        <v/>
      </c>
    </row>
    <row r="40" spans="1:11" ht="24" customHeight="1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1"/>
        <v>X</v>
      </c>
      <c r="E40" s="12">
        <f>IF(D40="X",100*0.25,"")</f>
        <v>25</v>
      </c>
      <c r="F40" s="12" t="str">
        <f t="shared" si="12"/>
        <v/>
      </c>
      <c r="G40" s="12" t="str">
        <f>IF(F40="X",60*0.25,"")</f>
        <v/>
      </c>
      <c r="H40" s="12" t="str">
        <f t="shared" si="13"/>
        <v/>
      </c>
      <c r="I40" s="12" t="str">
        <f>IF(H40="X",30*0.25,"")</f>
        <v/>
      </c>
      <c r="J40" s="12" t="str">
        <f t="shared" si="14"/>
        <v/>
      </c>
      <c r="K40" s="12" t="str">
        <f t="shared" si="15"/>
        <v/>
      </c>
    </row>
    <row r="41" spans="1:11" ht="24" customHeight="1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1"/>
        <v>X</v>
      </c>
      <c r="E41" s="12">
        <f>IF(D41="X",100*0.2,"")</f>
        <v>20</v>
      </c>
      <c r="F41" s="12" t="str">
        <f t="shared" si="12"/>
        <v/>
      </c>
      <c r="G41" s="12" t="str">
        <f>IF(F41="X",60*0.2,"")</f>
        <v/>
      </c>
      <c r="H41" s="12" t="str">
        <f t="shared" si="13"/>
        <v/>
      </c>
      <c r="I41" s="12" t="str">
        <f>IF(H41="X",30*0.2,"")</f>
        <v/>
      </c>
      <c r="J41" s="12" t="str">
        <f t="shared" si="14"/>
        <v/>
      </c>
      <c r="K41" s="12" t="str">
        <f t="shared" si="15"/>
        <v/>
      </c>
    </row>
    <row r="42" spans="1:11" ht="24" customHeight="1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1"/>
        <v>X</v>
      </c>
      <c r="E42" s="12">
        <f>IF(D42="X",100*0.05,"")</f>
        <v>5</v>
      </c>
      <c r="F42" s="12" t="str">
        <f t="shared" si="12"/>
        <v/>
      </c>
      <c r="G42" s="12" t="str">
        <f>IF(F42="X",60*0.05,"")</f>
        <v/>
      </c>
      <c r="H42" s="12" t="str">
        <f t="shared" si="13"/>
        <v/>
      </c>
      <c r="I42" s="12" t="str">
        <f>IF(H42="X",30*0.05,"")</f>
        <v/>
      </c>
      <c r="J42" s="12" t="str">
        <f t="shared" si="14"/>
        <v/>
      </c>
      <c r="K42" s="12" t="str">
        <f t="shared" si="15"/>
        <v/>
      </c>
    </row>
    <row r="43" spans="1:11" ht="24" customHeight="1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1"/>
        <v>X</v>
      </c>
      <c r="E43" s="12">
        <f>IF(D43="X",100*0.05,"")</f>
        <v>5</v>
      </c>
      <c r="F43" s="12" t="str">
        <f t="shared" si="12"/>
        <v/>
      </c>
      <c r="G43" s="12" t="str">
        <f>IF(F43="X",60*0.05,"")</f>
        <v/>
      </c>
      <c r="H43" s="12" t="str">
        <f t="shared" si="13"/>
        <v/>
      </c>
      <c r="I43" s="12" t="str">
        <f>IF(H43="X",30*0.05,"")</f>
        <v/>
      </c>
      <c r="J43" s="12" t="str">
        <f t="shared" si="14"/>
        <v/>
      </c>
      <c r="K43" s="12" t="str">
        <f t="shared" si="15"/>
        <v/>
      </c>
    </row>
    <row r="44" spans="1:11" ht="24" customHeight="1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5"/>
        <v/>
      </c>
    </row>
    <row r="45" spans="1:11" ht="24" customHeight="1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5"/>
        <v/>
      </c>
    </row>
    <row r="46" spans="1:11" ht="24" customHeight="1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2"/>
      <c r="B47" s="21" t="s">
        <v>13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14</v>
      </c>
      <c r="B50" s="11" t="str">
        <f>B4</f>
        <v>FELIPE FUENTES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6">IF($C52=CL,"X","")</f>
        <v>X</v>
      </c>
      <c r="E52" s="12">
        <f>IF(D52="X",100*0.15,"")</f>
        <v>15</v>
      </c>
      <c r="F52" s="12" t="str">
        <f t="shared" ref="F52:F56" si="17">IF($C52=L,"X","")</f>
        <v/>
      </c>
      <c r="G52" s="12" t="str">
        <f>IF(F52="X",60*0.15,"")</f>
        <v/>
      </c>
      <c r="H52" s="12" t="str">
        <f t="shared" ref="H52:H56" si="18">IF($C52=ML,"X","")</f>
        <v/>
      </c>
      <c r="I52" s="12" t="str">
        <f>IF(H52="X",30*0.15,"")</f>
        <v/>
      </c>
      <c r="J52" s="12" t="str">
        <f t="shared" ref="J52:J56" si="19">IF($C52=NL,"X","")</f>
        <v/>
      </c>
      <c r="K52" s="12" t="str">
        <f t="shared" ref="K52:K58" si="20">IF($J52="X",0,"")</f>
        <v/>
      </c>
    </row>
    <row r="53" spans="1:11" ht="24" customHeight="1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6"/>
        <v>X</v>
      </c>
      <c r="E53" s="12">
        <f>IF(D53="X",100*0.25,"")</f>
        <v>25</v>
      </c>
      <c r="F53" s="12" t="str">
        <f t="shared" si="17"/>
        <v/>
      </c>
      <c r="G53" s="12" t="str">
        <f>IF(F53="X",60*0.25,"")</f>
        <v/>
      </c>
      <c r="H53" s="12" t="str">
        <f t="shared" si="18"/>
        <v/>
      </c>
      <c r="I53" s="12" t="str">
        <f>IF(H53="X",30*0.25,"")</f>
        <v/>
      </c>
      <c r="J53" s="12" t="str">
        <f t="shared" si="19"/>
        <v/>
      </c>
      <c r="K53" s="12" t="str">
        <f t="shared" si="20"/>
        <v/>
      </c>
    </row>
    <row r="54" spans="1:11" ht="24" customHeight="1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6"/>
        <v>X</v>
      </c>
      <c r="E54" s="12">
        <f>IF(D54="X",100*0.2,"")</f>
        <v>20</v>
      </c>
      <c r="F54" s="12" t="str">
        <f t="shared" si="17"/>
        <v/>
      </c>
      <c r="G54" s="12" t="str">
        <f>IF(F54="X",60*0.2,"")</f>
        <v/>
      </c>
      <c r="H54" s="12" t="str">
        <f t="shared" si="18"/>
        <v/>
      </c>
      <c r="I54" s="12" t="str">
        <f>IF(H54="X",30*0.2,"")</f>
        <v/>
      </c>
      <c r="J54" s="12" t="str">
        <f t="shared" si="19"/>
        <v/>
      </c>
      <c r="K54" s="12" t="str">
        <f t="shared" si="20"/>
        <v/>
      </c>
    </row>
    <row r="55" spans="1:11" ht="24" customHeight="1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6"/>
        <v>X</v>
      </c>
      <c r="E55" s="12">
        <f>IF(D55="X",100*0.05,"")</f>
        <v>5</v>
      </c>
      <c r="F55" s="12" t="str">
        <f t="shared" si="17"/>
        <v/>
      </c>
      <c r="G55" s="12" t="str">
        <f>IF(F55="X",60*0.05,"")</f>
        <v/>
      </c>
      <c r="H55" s="12" t="str">
        <f t="shared" si="18"/>
        <v/>
      </c>
      <c r="I55" s="12" t="str">
        <f>IF(H55="X",30*0.05,"")</f>
        <v/>
      </c>
      <c r="J55" s="12" t="str">
        <f t="shared" si="19"/>
        <v/>
      </c>
      <c r="K55" s="12" t="str">
        <f t="shared" si="20"/>
        <v/>
      </c>
    </row>
    <row r="56" spans="1:11" ht="24" customHeight="1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6"/>
        <v>X</v>
      </c>
      <c r="E56" s="12">
        <f>IF(D56="X",100*0.05,"")</f>
        <v>5</v>
      </c>
      <c r="F56" s="12" t="str">
        <f t="shared" si="17"/>
        <v/>
      </c>
      <c r="G56" s="12" t="str">
        <f>IF(F56="X",60*0.05,"")</f>
        <v/>
      </c>
      <c r="H56" s="12" t="str">
        <f t="shared" si="18"/>
        <v/>
      </c>
      <c r="I56" s="12" t="str">
        <f>IF(H56="X",30*0.05,"")</f>
        <v/>
      </c>
      <c r="J56" s="12" t="str">
        <f t="shared" si="19"/>
        <v/>
      </c>
      <c r="K56" s="12" t="str">
        <f t="shared" si="20"/>
        <v/>
      </c>
    </row>
    <row r="57" spans="1:11" ht="24" customHeight="1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0"/>
        <v/>
      </c>
    </row>
    <row r="58" spans="1:11" ht="24" customHeight="1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0"/>
        <v/>
      </c>
    </row>
    <row r="59" spans="1:11" ht="24" customHeight="1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2"/>
      <c r="B60" s="21" t="s">
        <v>13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15</v>
      </c>
      <c r="B63" s="11">
        <f>B5</f>
        <v>0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1">IF($C65=CL,"X","")</f>
        <v>X</v>
      </c>
      <c r="E65" s="12">
        <f>IF(D65="X",100*0.15,"")</f>
        <v>15</v>
      </c>
      <c r="F65" s="12" t="str">
        <f t="shared" ref="F65:F69" si="22">IF($C65=L,"X","")</f>
        <v/>
      </c>
      <c r="G65" s="12" t="str">
        <f>IF(F65="X",60*0.15,"")</f>
        <v/>
      </c>
      <c r="H65" s="12" t="str">
        <f t="shared" ref="H65:H69" si="23">IF($C65=ML,"X","")</f>
        <v/>
      </c>
      <c r="I65" s="12" t="str">
        <f>IF(H65="X",30*0.15,"")</f>
        <v/>
      </c>
      <c r="J65" s="12" t="str">
        <f t="shared" ref="J65:J69" si="24">IF($C65=NL,"X","")</f>
        <v/>
      </c>
      <c r="K65" s="12" t="str">
        <f t="shared" ref="K65:K71" si="25">IF($J65="X",0,"")</f>
        <v/>
      </c>
    </row>
    <row r="66" spans="1:11" ht="24" customHeight="1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1"/>
        <v>X</v>
      </c>
      <c r="E66" s="12">
        <f>IF(D66="X",100*0.25,"")</f>
        <v>25</v>
      </c>
      <c r="F66" s="12" t="str">
        <f t="shared" si="22"/>
        <v/>
      </c>
      <c r="G66" s="12" t="str">
        <f>IF(F66="X",60*0.25,"")</f>
        <v/>
      </c>
      <c r="H66" s="12" t="str">
        <f t="shared" si="23"/>
        <v/>
      </c>
      <c r="I66" s="12" t="str">
        <f>IF(H66="X",30*0.25,"")</f>
        <v/>
      </c>
      <c r="J66" s="12" t="str">
        <f t="shared" si="24"/>
        <v/>
      </c>
      <c r="K66" s="12" t="str">
        <f t="shared" si="25"/>
        <v/>
      </c>
    </row>
    <row r="67" spans="1:11" ht="24" customHeight="1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1"/>
        <v>X</v>
      </c>
      <c r="E67" s="12">
        <f>IF(D67="X",100*0.2,"")</f>
        <v>20</v>
      </c>
      <c r="F67" s="12" t="str">
        <f t="shared" si="22"/>
        <v/>
      </c>
      <c r="G67" s="12" t="str">
        <f>IF(F67="X",60*0.2,"")</f>
        <v/>
      </c>
      <c r="H67" s="12" t="str">
        <f t="shared" si="23"/>
        <v/>
      </c>
      <c r="I67" s="12" t="str">
        <f>IF(H67="X",30*0.2,"")</f>
        <v/>
      </c>
      <c r="J67" s="12" t="str">
        <f t="shared" si="24"/>
        <v/>
      </c>
      <c r="K67" s="12" t="str">
        <f t="shared" si="25"/>
        <v/>
      </c>
    </row>
    <row r="68" spans="1:11" ht="24" customHeight="1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1"/>
        <v>X</v>
      </c>
      <c r="E68" s="12">
        <f>IF(D68="X",100*0.05,"")</f>
        <v>5</v>
      </c>
      <c r="F68" s="12" t="str">
        <f t="shared" si="22"/>
        <v/>
      </c>
      <c r="G68" s="12" t="str">
        <f>IF(F68="X",60*0.05,"")</f>
        <v/>
      </c>
      <c r="H68" s="12" t="str">
        <f t="shared" si="23"/>
        <v/>
      </c>
      <c r="I68" s="12" t="str">
        <f>IF(H68="X",30*0.05,"")</f>
        <v/>
      </c>
      <c r="J68" s="12" t="str">
        <f t="shared" si="24"/>
        <v/>
      </c>
      <c r="K68" s="12" t="str">
        <f t="shared" si="25"/>
        <v/>
      </c>
    </row>
    <row r="69" spans="1:11" ht="24" customHeight="1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1"/>
        <v>X</v>
      </c>
      <c r="E69" s="12">
        <f>IF(D69="X",100*0.05,"")</f>
        <v>5</v>
      </c>
      <c r="F69" s="12" t="str">
        <f t="shared" si="22"/>
        <v/>
      </c>
      <c r="G69" s="12" t="str">
        <f>IF(F69="X",60*0.05,"")</f>
        <v/>
      </c>
      <c r="H69" s="12" t="str">
        <f t="shared" si="23"/>
        <v/>
      </c>
      <c r="I69" s="12" t="str">
        <f>IF(H69="X",30*0.05,"")</f>
        <v/>
      </c>
      <c r="J69" s="12" t="str">
        <f t="shared" si="24"/>
        <v/>
      </c>
      <c r="K69" s="12" t="str">
        <f t="shared" si="25"/>
        <v/>
      </c>
    </row>
    <row r="70" spans="1:11" ht="24" customHeight="1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5"/>
        <v/>
      </c>
    </row>
    <row r="71" spans="1:11" ht="24" customHeight="1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5"/>
        <v/>
      </c>
    </row>
    <row r="72" spans="1:11" ht="24" customHeight="1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42"/>
      <c r="B73" s="21" t="s">
        <v>13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16</v>
      </c>
      <c r="B76" s="11">
        <f>B6</f>
        <v>0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6">IF($C78=CL,"X","")</f>
        <v>X</v>
      </c>
      <c r="E78" s="12">
        <f>IF(D78="X",100*0.15,"")</f>
        <v>15</v>
      </c>
      <c r="F78" s="12" t="str">
        <f t="shared" ref="F78:F82" si="27">IF($C78=L,"X","")</f>
        <v/>
      </c>
      <c r="G78" s="12" t="str">
        <f>IF(F78="X",60*0.15,"")</f>
        <v/>
      </c>
      <c r="H78" s="12" t="str">
        <f t="shared" ref="H78:H82" si="28">IF($C78=ML,"X","")</f>
        <v/>
      </c>
      <c r="I78" s="12" t="str">
        <f>IF(H78="X",30*0.15,"")</f>
        <v/>
      </c>
      <c r="J78" s="12" t="str">
        <f t="shared" ref="J78:J82" si="29">IF($C78=NL,"X","")</f>
        <v/>
      </c>
      <c r="K78" s="12" t="str">
        <f t="shared" ref="K78:K84" si="30">IF($J78="X",0,"")</f>
        <v/>
      </c>
    </row>
    <row r="79" spans="1:11" ht="24" customHeight="1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6"/>
        <v>X</v>
      </c>
      <c r="E79" s="12">
        <f>IF(D79="X",100*0.25,"")</f>
        <v>25</v>
      </c>
      <c r="F79" s="12" t="str">
        <f t="shared" si="27"/>
        <v/>
      </c>
      <c r="G79" s="12" t="str">
        <f>IF(F79="X",60*0.25,"")</f>
        <v/>
      </c>
      <c r="H79" s="12" t="str">
        <f t="shared" si="28"/>
        <v/>
      </c>
      <c r="I79" s="12" t="str">
        <f>IF(H79="X",30*0.25,"")</f>
        <v/>
      </c>
      <c r="J79" s="12" t="str">
        <f t="shared" si="29"/>
        <v/>
      </c>
      <c r="K79" s="12" t="str">
        <f t="shared" si="30"/>
        <v/>
      </c>
    </row>
    <row r="80" spans="1:11" ht="24" customHeight="1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6"/>
        <v>X</v>
      </c>
      <c r="E80" s="12">
        <f>IF(D80="X",100*0.2,"")</f>
        <v>20</v>
      </c>
      <c r="F80" s="12" t="str">
        <f t="shared" si="27"/>
        <v/>
      </c>
      <c r="G80" s="12" t="str">
        <f>IF(F80="X",60*0.2,"")</f>
        <v/>
      </c>
      <c r="H80" s="12" t="str">
        <f t="shared" si="28"/>
        <v/>
      </c>
      <c r="I80" s="12" t="str">
        <f>IF(H80="X",30*0.2,"")</f>
        <v/>
      </c>
      <c r="J80" s="12" t="str">
        <f t="shared" si="29"/>
        <v/>
      </c>
      <c r="K80" s="12" t="str">
        <f t="shared" si="30"/>
        <v/>
      </c>
    </row>
    <row r="81" spans="1:11" ht="24" customHeight="1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6"/>
        <v>X</v>
      </c>
      <c r="E81" s="12">
        <f>IF(D81="X",100*0.05,"")</f>
        <v>5</v>
      </c>
      <c r="F81" s="12" t="str">
        <f t="shared" si="27"/>
        <v/>
      </c>
      <c r="G81" s="12" t="str">
        <f>IF(F81="X",60*0.05,"")</f>
        <v/>
      </c>
      <c r="H81" s="12" t="str">
        <f t="shared" si="28"/>
        <v/>
      </c>
      <c r="I81" s="12" t="str">
        <f>IF(H81="X",30*0.05,"")</f>
        <v/>
      </c>
      <c r="J81" s="12" t="str">
        <f t="shared" si="29"/>
        <v/>
      </c>
      <c r="K81" s="12" t="str">
        <f t="shared" si="30"/>
        <v/>
      </c>
    </row>
    <row r="82" spans="1:11" ht="24" customHeight="1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6"/>
        <v>X</v>
      </c>
      <c r="E82" s="12">
        <f>IF(D82="X",100*0.05,"")</f>
        <v>5</v>
      </c>
      <c r="F82" s="12" t="str">
        <f t="shared" si="27"/>
        <v/>
      </c>
      <c r="G82" s="12" t="str">
        <f>IF(F82="X",60*0.05,"")</f>
        <v/>
      </c>
      <c r="H82" s="12" t="str">
        <f t="shared" si="28"/>
        <v/>
      </c>
      <c r="I82" s="12" t="str">
        <f>IF(H82="X",30*0.05,"")</f>
        <v/>
      </c>
      <c r="J82" s="12" t="str">
        <f t="shared" si="29"/>
        <v/>
      </c>
      <c r="K82" s="12" t="str">
        <f t="shared" si="30"/>
        <v/>
      </c>
    </row>
    <row r="83" spans="1:11" ht="24" customHeight="1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0"/>
        <v/>
      </c>
    </row>
    <row r="84" spans="1:11" ht="24" customHeight="1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0"/>
        <v/>
      </c>
    </row>
    <row r="85" spans="1:11" ht="24" customHeight="1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42"/>
      <c r="B86" s="21" t="s">
        <v>13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>
      <c r="A3" s="50"/>
      <c r="B3" s="55"/>
      <c r="C3" s="55"/>
      <c r="D3" s="27">
        <v>0.3</v>
      </c>
      <c r="E3" s="27">
        <v>0</v>
      </c>
      <c r="F3" s="50"/>
    </row>
    <row r="4" spans="1:6" ht="10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58</v>
      </c>
      <c r="B1" t="s">
        <v>59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6" t="s">
        <v>60</v>
      </c>
      <c r="B1" s="4" t="s">
        <v>12</v>
      </c>
      <c r="C1" s="5"/>
      <c r="D1" s="5"/>
      <c r="E1" s="6"/>
    </row>
    <row r="2" spans="1:5" ht="45.75" thickBot="1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Alex Vargas Reyes</cp:lastModifiedBy>
  <cp:revision/>
  <dcterms:created xsi:type="dcterms:W3CDTF">2023-08-07T04:08:01Z</dcterms:created>
  <dcterms:modified xsi:type="dcterms:W3CDTF">2025-12-09T13:59:00Z</dcterms:modified>
  <cp:category/>
  <cp:contentStatus/>
</cp:coreProperties>
</file>